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1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istrateur\Desktop\test\"/>
    </mc:Choice>
  </mc:AlternateContent>
  <xr:revisionPtr revIDLastSave="0" documentId="13_ncr:1_{5F9D5260-6DC7-4CA4-BFAA-65F52E6DFC38}" xr6:coauthVersionLast="36" xr6:coauthVersionMax="47" xr10:uidLastSave="{00000000-0000-0000-0000-000000000000}"/>
  <bookViews>
    <workbookView xWindow="2970" yWindow="1935" windowWidth="23040" windowHeight="13665" tabRatio="500" xr2:uid="{00000000-000D-0000-FFFF-FFFF00000000}"/>
  </bookViews>
  <sheets>
    <sheet name="Sheet1" sheetId="1" r:id="rId1"/>
    <sheet name="Feuil1" sheetId="3" r:id="rId2"/>
    <sheet name="Feuil2" sheetId="4" r:id="rId3"/>
    <sheet name="_xlwings.conf" sheetId="2" r:id="rId4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derivativehistorycal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derivativehistorycallgetlowvalu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derivativehistoryputgetlowvalu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highofadat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lowofadat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dexhistoryforweek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3" i="1" l="1"/>
  <c r="B7" i="1"/>
  <c r="D7" i="1"/>
  <c r="E7" i="1"/>
  <c r="J6" i="1"/>
  <c r="B23" i="1"/>
  <c r="D23" i="1"/>
  <c r="C23" i="1"/>
  <c r="B22" i="1"/>
  <c r="D22" i="1"/>
  <c r="C22" i="1"/>
  <c r="B21" i="1"/>
  <c r="D21" i="1"/>
  <c r="C21" i="1"/>
  <c r="B20" i="1"/>
  <c r="D20" i="1"/>
  <c r="C20" i="1"/>
  <c r="B19" i="1"/>
  <c r="D19" i="1"/>
  <c r="C19" i="1"/>
  <c r="B18" i="1"/>
  <c r="D18" i="1"/>
  <c r="C18" i="1"/>
  <c r="B17" i="1"/>
  <c r="D17" i="1"/>
  <c r="C17" i="1"/>
  <c r="B16" i="1"/>
  <c r="D16" i="1"/>
  <c r="C16" i="1"/>
  <c r="B15" i="1"/>
  <c r="D15" i="1"/>
  <c r="C15" i="1"/>
  <c r="B14" i="1"/>
  <c r="D14" i="1"/>
  <c r="C7" i="1"/>
  <c r="B6" i="1"/>
  <c r="C6" i="1"/>
  <c r="D6" i="1"/>
  <c r="E23" i="1"/>
  <c r="C14" i="1"/>
  <c r="E14" i="1"/>
  <c r="E15" i="1"/>
  <c r="E16" i="1"/>
  <c r="E17" i="1"/>
  <c r="E18" i="1"/>
  <c r="E19" i="1"/>
  <c r="E20" i="1"/>
  <c r="E21" i="1"/>
  <c r="E22" i="1"/>
  <c r="E24" i="1" a="1"/>
  <c r="E24" i="1"/>
  <c r="C27" i="1"/>
  <c r="I39" i="1"/>
  <c r="C39" i="1"/>
  <c r="I33" i="1"/>
  <c r="C33" i="1"/>
  <c r="E6" i="1"/>
  <c r="J7" i="1"/>
  <c r="H23" i="1"/>
  <c r="I23" i="1"/>
  <c r="K23" i="1"/>
  <c r="I22" i="1"/>
  <c r="K22" i="1"/>
  <c r="I21" i="1"/>
  <c r="K21" i="1"/>
  <c r="I20" i="1"/>
  <c r="K20" i="1"/>
  <c r="I19" i="1"/>
  <c r="K19" i="1"/>
  <c r="I18" i="1"/>
  <c r="K18" i="1"/>
  <c r="I17" i="1"/>
  <c r="K17" i="1"/>
  <c r="I16" i="1"/>
  <c r="K16" i="1"/>
  <c r="I15" i="1"/>
  <c r="K15" i="1"/>
  <c r="I14" i="1"/>
  <c r="K14" i="1"/>
  <c r="C32" i="1"/>
  <c r="K24" i="1" a="1"/>
  <c r="K24" i="1"/>
  <c r="I27" i="1"/>
  <c r="I32" i="1"/>
  <c r="C28" i="1"/>
  <c r="C34" i="1"/>
  <c r="C35" i="1"/>
  <c r="I28" i="1"/>
  <c r="I34" i="1"/>
  <c r="I35" i="1"/>
  <c r="C36" i="1"/>
  <c r="I36" i="1"/>
  <c r="C41" i="1"/>
  <c r="I41" i="1"/>
</calcChain>
</file>

<file path=xl/sharedStrings.xml><?xml version="1.0" encoding="utf-8"?>
<sst xmlns="http://schemas.openxmlformats.org/spreadsheetml/2006/main" count="84" uniqueCount="58">
  <si>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</si>
  <si>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</si>
  <si>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</si>
  <si>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</si>
  <si>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</si>
  <si>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</si>
  <si>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</si>
  <si>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</si>
  <si>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</si>
  <si>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</si>
  <si>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</si>
  <si>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</si>
  <si>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</si>
  <si>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</si>
  <si>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</si>
  <si>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symbol</t>
  </si>
  <si>
    <t>NIFTY</t>
  </si>
  <si>
    <t>start_date</t>
  </si>
  <si>
    <t>end_date</t>
  </si>
  <si>
    <t>instrumentType</t>
  </si>
  <si>
    <t>options</t>
  </si>
  <si>
    <t>expiry_date</t>
  </si>
  <si>
    <t>strikePrice</t>
  </si>
  <si>
    <t>optionType</t>
  </si>
  <si>
    <t>CE</t>
  </si>
  <si>
    <t>Ticker</t>
  </si>
  <si>
    <t>NIFTY 50</t>
  </si>
  <si>
    <t>Nifty</t>
  </si>
  <si>
    <t>Symbol</t>
  </si>
  <si>
    <t>SPOT</t>
  </si>
  <si>
    <t>Expiry</t>
  </si>
  <si>
    <t>2 Days</t>
  </si>
  <si>
    <t>Buffer</t>
  </si>
  <si>
    <t>High</t>
  </si>
  <si>
    <t>Call End Strike</t>
  </si>
  <si>
    <t>Low</t>
  </si>
  <si>
    <t>Put End Strike</t>
  </si>
  <si>
    <t>Call</t>
  </si>
  <si>
    <t>PUT</t>
  </si>
  <si>
    <t>0.85% of strike</t>
  </si>
  <si>
    <t>Sl.No</t>
  </si>
  <si>
    <t>Strike</t>
  </si>
  <si>
    <t>Premium</t>
  </si>
  <si>
    <t>2D-LL</t>
  </si>
  <si>
    <t>CALL Entry Strike</t>
  </si>
  <si>
    <t>Strike of zero or least positive integer 2D LL</t>
  </si>
  <si>
    <t>PUT Entry Strike</t>
  </si>
  <si>
    <t>2D LL</t>
  </si>
  <si>
    <t>Thursday constant</t>
  </si>
  <si>
    <t>CALL</t>
  </si>
  <si>
    <t>STRIKE PRICE</t>
  </si>
  <si>
    <t>ENTRY</t>
  </si>
  <si>
    <t>TARGET</t>
  </si>
  <si>
    <t>STOPLOSS</t>
  </si>
  <si>
    <t>2HH</t>
  </si>
  <si>
    <t>Trailing loss</t>
  </si>
  <si>
    <t>Profit/Loss per LOT</t>
  </si>
  <si>
    <t>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</si>
</sst>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[$-14009]dd/mm/yyyy;@"/>
  </numFmts>
  <fonts count="1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9"/>
      <color theme="1"/>
      <name val="Arial"/>
      <family val="2"/>
    </font>
    <font>
      <b/>
      <sz val="8"/>
      <color rgb="FF4A4A4A"/>
      <name val="Roboto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4A4A4A"/>
      <name val="Roboto"/>
    </font>
    <font>
      <sz val="9"/>
      <color rgb="FF4A4A4A"/>
      <name val="Roboto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3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15" fontId="5" fillId="2" borderId="10" xfId="0" applyNumberFormat="1" applyFont="1" applyFill="1" applyBorder="1"/>
    <xf numFmtId="0" fontId="3" fillId="0" borderId="10" xfId="0" applyFont="1" applyBorder="1" applyAlignment="1">
      <alignment horizontal="center"/>
    </xf>
    <xf numFmtId="0" fontId="0" fillId="0" borderId="10" xfId="0" applyBorder="1"/>
    <xf numFmtId="0" fontId="0" fillId="0" borderId="0" xfId="0" applyBorder="1"/>
    <xf numFmtId="2" fontId="2" fillId="3" borderId="11" xfId="0" applyNumberFormat="1" applyFont="1" applyFill="1" applyBorder="1" applyProtection="1">
      <protection locked="0"/>
    </xf>
    <xf numFmtId="0" fontId="0" fillId="0" borderId="7" xfId="0" applyBorder="1"/>
    <xf numFmtId="0" fontId="0" fillId="0" borderId="8" xfId="0" applyBorder="1"/>
    <xf numFmtId="1" fontId="5" fillId="2" borderId="10" xfId="0" applyNumberFormat="1" applyFont="1" applyFill="1" applyBorder="1"/>
    <xf numFmtId="10" fontId="0" fillId="0" borderId="10" xfId="0" applyNumberFormat="1" applyBorder="1"/>
    <xf numFmtId="2" fontId="2" fillId="2" borderId="0" xfId="0" applyNumberFormat="1" applyFont="1" applyFill="1" applyBorder="1" applyProtection="1">
      <protection locked="0"/>
    </xf>
    <xf numFmtId="164" fontId="2" fillId="2" borderId="10" xfId="0" applyNumberFormat="1" applyFont="1" applyFill="1" applyBorder="1"/>
    <xf numFmtId="0" fontId="0" fillId="2" borderId="9" xfId="0" applyFill="1" applyBorder="1"/>
    <xf numFmtId="0" fontId="2" fillId="0" borderId="10" xfId="0" applyFont="1" applyBorder="1"/>
    <xf numFmtId="0" fontId="2" fillId="0" borderId="0" xfId="0" applyFont="1" applyBorder="1"/>
    <xf numFmtId="0" fontId="2" fillId="2" borderId="9" xfId="0" applyFont="1" applyFill="1" applyBorder="1" applyAlignment="1">
      <alignment horizontal="center"/>
    </xf>
    <xf numFmtId="0" fontId="0" fillId="2" borderId="10" xfId="0" applyFill="1" applyBorder="1" applyProtection="1">
      <protection hidden="1"/>
    </xf>
    <xf numFmtId="0" fontId="0" fillId="4" borderId="10" xfId="0" applyFill="1" applyBorder="1" applyProtection="1">
      <protection hidden="1"/>
    </xf>
    <xf numFmtId="1" fontId="0" fillId="4" borderId="10" xfId="0" applyNumberFormat="1" applyFill="1" applyBorder="1" applyProtection="1">
      <protection hidden="1"/>
    </xf>
    <xf numFmtId="1" fontId="0" fillId="4" borderId="0" xfId="0" applyNumberFormat="1" applyFill="1" applyBorder="1" applyProtection="1">
      <protection hidden="1"/>
    </xf>
    <xf numFmtId="0" fontId="2" fillId="0" borderId="9" xfId="0" applyFont="1" applyBorder="1"/>
    <xf numFmtId="0" fontId="0" fillId="4" borderId="8" xfId="0" applyFill="1" applyBorder="1" applyProtection="1">
      <protection hidden="1"/>
    </xf>
    <xf numFmtId="0" fontId="0" fillId="0" borderId="12" xfId="0" applyBorder="1"/>
    <xf numFmtId="0" fontId="7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2" fontId="0" fillId="0" borderId="10" xfId="0" applyNumberFormat="1" applyBorder="1" applyProtection="1">
      <protection hidden="1"/>
    </xf>
    <xf numFmtId="2" fontId="0" fillId="2" borderId="10" xfId="0" applyNumberFormat="1" applyFill="1" applyBorder="1" applyProtection="1">
      <protection locked="0"/>
    </xf>
    <xf numFmtId="2" fontId="0" fillId="0" borderId="10" xfId="0" applyNumberFormat="1" applyBorder="1"/>
    <xf numFmtId="2" fontId="0" fillId="0" borderId="0" xfId="0" applyNumberFormat="1" applyBorder="1"/>
    <xf numFmtId="0" fontId="8" fillId="5" borderId="10" xfId="0" applyFont="1" applyFill="1" applyBorder="1" applyAlignment="1">
      <alignment horizontal="right" vertical="center" wrapText="1"/>
    </xf>
    <xf numFmtId="0" fontId="9" fillId="0" borderId="10" xfId="0" applyFont="1" applyBorder="1"/>
    <xf numFmtId="2" fontId="0" fillId="0" borderId="0" xfId="0" applyNumberFormat="1" applyBorder="1" applyProtection="1">
      <protection hidden="1"/>
    </xf>
    <xf numFmtId="2" fontId="0" fillId="2" borderId="8" xfId="0" applyNumberFormat="1" applyFill="1" applyBorder="1" applyProtection="1">
      <protection locked="0"/>
    </xf>
    <xf numFmtId="0" fontId="0" fillId="0" borderId="16" xfId="0" applyBorder="1"/>
    <xf numFmtId="0" fontId="0" fillId="0" borderId="17" xfId="0" applyBorder="1"/>
    <xf numFmtId="0" fontId="0" fillId="3" borderId="10" xfId="0" applyFill="1" applyBorder="1" applyProtection="1">
      <protection locked="0"/>
    </xf>
    <xf numFmtId="0" fontId="0" fillId="0" borderId="0" xfId="0" applyBorder="1" applyAlignment="1">
      <alignment wrapText="1"/>
    </xf>
    <xf numFmtId="0" fontId="0" fillId="3" borderId="15" xfId="0" applyFill="1" applyBorder="1" applyProtection="1">
      <protection locked="0"/>
    </xf>
    <xf numFmtId="165" fontId="0" fillId="3" borderId="10" xfId="0" applyNumberFormat="1" applyFill="1" applyBorder="1" applyProtection="1">
      <protection locked="0"/>
    </xf>
    <xf numFmtId="14" fontId="0" fillId="3" borderId="10" xfId="0" applyNumberFormat="1" applyFill="1" applyBorder="1" applyProtection="1">
      <protection locked="0"/>
    </xf>
    <xf numFmtId="0" fontId="0" fillId="6" borderId="10" xfId="0" applyFill="1" applyBorder="1" applyProtection="1">
      <protection hidden="1"/>
    </xf>
    <xf numFmtId="14" fontId="0" fillId="6" borderId="10" xfId="0" applyNumberFormat="1" applyFill="1" applyBorder="1" applyProtection="1">
      <protection hidden="1"/>
    </xf>
    <xf numFmtId="2" fontId="0" fillId="6" borderId="10" xfId="0" applyNumberFormat="1" applyFill="1" applyBorder="1" applyProtection="1">
      <protection hidden="1"/>
    </xf>
    <xf numFmtId="0" fontId="0" fillId="0" borderId="0" xfId="0" applyBorder="1" applyProtection="1">
      <protection hidden="1"/>
    </xf>
    <xf numFmtId="0" fontId="0" fillId="7" borderId="10" xfId="0" applyFill="1" applyBorder="1" applyProtection="1">
      <protection hidden="1"/>
    </xf>
    <xf numFmtId="0" fontId="2" fillId="8" borderId="20" xfId="0" applyFont="1" applyFill="1" applyBorder="1" applyProtection="1">
      <protection hidden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7" borderId="9" xfId="0" applyFill="1" applyBorder="1" applyAlignment="1">
      <alignment horizontal="left"/>
    </xf>
    <xf numFmtId="0" fontId="0" fillId="7" borderId="10" xfId="0" applyFill="1" applyBorder="1" applyAlignment="1">
      <alignment horizontal="left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6" borderId="15" xfId="0" applyFill="1" applyBorder="1" applyAlignment="1">
      <alignment horizontal="left"/>
    </xf>
    <xf numFmtId="0" fontId="0" fillId="6" borderId="13" xfId="0" applyFill="1" applyBorder="1" applyAlignment="1">
      <alignment horizontal="left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18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2" fontId="0" fillId="2" borderId="10" xfId="0" applyNumberFormat="1" applyFill="1" applyBorder="1" applyProtection="1">
      <protection hidden="1"/>
    </xf>
    <xf numFmtId="2" fontId="0" fillId="4" borderId="10" xfId="0" applyNumberFormat="1" applyFill="1" applyBorder="1" applyProtection="1">
      <protection hidden="1"/>
    </xf>
    <xf numFmtId="2" fontId="0" fillId="0" borderId="0" xfId="0" applyNumberFormat="1"/>
    <xf numFmtId="0" fontId="4" fillId="0" borderId="24" xfId="0" applyFont="1" applyBorder="1" applyAlignment="1">
      <alignment horizontal="center"/>
    </xf>
    <xf numFmtId="0" fontId="4" fillId="0" borderId="1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1"/>
  <sheetViews>
    <sheetView tabSelected="1" workbookViewId="0">
      <selection activeCell="N23" sqref="N23"/>
    </sheetView>
  </sheetViews>
  <sheetFormatPr baseColWidth="10" defaultColWidth="11" defaultRowHeight="15.75"/>
  <cols>
    <col min="1" max="1" width="13.75" customWidth="1"/>
    <col min="2" max="2" width="30.625" customWidth="1"/>
  </cols>
  <sheetData>
    <row r="1" spans="1:13" ht="26.25">
      <c r="A1" s="75" t="s">
        <v>27</v>
      </c>
      <c r="B1" s="76"/>
      <c r="C1" s="76"/>
      <c r="D1" s="76"/>
      <c r="E1" s="76"/>
      <c r="F1" s="76"/>
      <c r="G1" s="76"/>
      <c r="H1" s="76"/>
      <c r="I1" s="76"/>
      <c r="J1" s="76"/>
      <c r="K1" s="5"/>
    </row>
    <row r="2" spans="1:13" ht="26.25">
      <c r="A2" s="6" t="s">
        <v>28</v>
      </c>
      <c r="B2" s="7" t="s">
        <v>26</v>
      </c>
      <c r="C2" s="8"/>
      <c r="D2" s="8"/>
      <c r="E2" s="8"/>
      <c r="F2" s="9"/>
      <c r="G2" s="9"/>
      <c r="H2" s="10"/>
      <c r="I2" s="10"/>
      <c r="J2" s="11"/>
      <c r="K2" s="12"/>
    </row>
    <row r="3" spans="1:13" ht="26.25">
      <c r="A3" s="13"/>
      <c r="B3" s="14">
        <v>45324</v>
      </c>
      <c r="C3" s="14">
        <v>45323</v>
      </c>
      <c r="D3" s="15"/>
      <c r="E3" s="16"/>
      <c r="F3" s="17"/>
      <c r="G3" s="17"/>
      <c r="H3" s="18" t="s">
        <v>29</v>
      </c>
      <c r="I3" s="18">
        <v>22162</v>
      </c>
      <c r="J3" s="19"/>
      <c r="K3" s="20"/>
    </row>
    <row r="4" spans="1:13" ht="26.25">
      <c r="A4" s="13"/>
      <c r="B4" s="21">
        <v>2</v>
      </c>
      <c r="C4" s="21">
        <v>3</v>
      </c>
      <c r="D4" s="15"/>
      <c r="E4" s="22">
        <v>1.5E-3</v>
      </c>
      <c r="F4" s="17"/>
      <c r="G4" s="17">
        <v>1</v>
      </c>
      <c r="H4" s="23" t="s">
        <v>30</v>
      </c>
      <c r="I4" s="24">
        <v>45330</v>
      </c>
      <c r="J4" s="19"/>
      <c r="K4" s="20"/>
    </row>
    <row r="5" spans="1:13">
      <c r="A5" s="25"/>
      <c r="B5" s="24">
        <v>45323</v>
      </c>
      <c r="C5" s="24">
        <v>45324</v>
      </c>
      <c r="D5" s="26" t="s">
        <v>31</v>
      </c>
      <c r="E5" s="26" t="s">
        <v>32</v>
      </c>
      <c r="F5" s="27"/>
      <c r="G5" s="17"/>
      <c r="H5" s="17"/>
      <c r="I5" s="17"/>
      <c r="J5" s="19"/>
      <c r="K5" s="20"/>
    </row>
    <row r="6" spans="1:13">
      <c r="A6" s="28" t="s">
        <v>33</v>
      </c>
      <c r="B6" s="85">
        <f>gethighofadate(B2,B5)</f>
        <v>21832.95</v>
      </c>
      <c r="C6" s="85">
        <f>gethighofadate(B2,C5)</f>
        <v>22126.799999999999</v>
      </c>
      <c r="D6" s="86">
        <f>MAX(B6:C6)</f>
        <v>22126.799999999999</v>
      </c>
      <c r="E6" s="31">
        <f>D6*1.0015</f>
        <v>22159.9902</v>
      </c>
      <c r="F6" s="32"/>
      <c r="G6" s="17"/>
      <c r="H6" s="33" t="s">
        <v>34</v>
      </c>
      <c r="I6" s="16"/>
      <c r="J6" s="30">
        <f>FLOOR(E7,50)</f>
        <v>21600</v>
      </c>
      <c r="K6" s="34"/>
      <c r="L6" s="87"/>
      <c r="M6" s="4"/>
    </row>
    <row r="7" spans="1:13">
      <c r="A7" s="28" t="s">
        <v>35</v>
      </c>
      <c r="B7" s="29">
        <f>getlowofadate(B2,B5)</f>
        <v>21658.75</v>
      </c>
      <c r="C7" s="29">
        <f>getlowofadate(B2,C5)</f>
        <v>21805.55</v>
      </c>
      <c r="D7" s="30">
        <f>MIN(B7:C7)</f>
        <v>21658.75</v>
      </c>
      <c r="E7" s="31">
        <f>D7*0.9985</f>
        <v>21626.261875</v>
      </c>
      <c r="F7" s="32"/>
      <c r="G7" s="17"/>
      <c r="H7" s="33" t="s">
        <v>36</v>
      </c>
      <c r="I7" s="16"/>
      <c r="J7" s="30">
        <f>CEILING(E6,50)</f>
        <v>22200</v>
      </c>
      <c r="K7" s="34"/>
    </row>
    <row r="8" spans="1:13">
      <c r="A8" s="35"/>
      <c r="B8" s="17"/>
      <c r="C8" s="17"/>
      <c r="D8" s="17"/>
      <c r="E8" s="17"/>
      <c r="F8" s="17"/>
      <c r="G8" s="17"/>
      <c r="H8" s="17"/>
      <c r="I8" s="17"/>
      <c r="J8" s="19"/>
      <c r="K8" s="20"/>
    </row>
    <row r="9" spans="1:13" ht="23.25">
      <c r="A9" s="77" t="s">
        <v>37</v>
      </c>
      <c r="B9" s="78"/>
      <c r="C9" s="78"/>
      <c r="D9" s="78"/>
      <c r="E9" s="79"/>
      <c r="F9" s="17"/>
      <c r="G9" s="77" t="s">
        <v>38</v>
      </c>
      <c r="H9" s="78"/>
      <c r="I9" s="78"/>
      <c r="J9" s="78"/>
      <c r="K9" s="79"/>
    </row>
    <row r="10" spans="1:13" ht="23.25">
      <c r="A10" s="6" t="s">
        <v>28</v>
      </c>
      <c r="B10" s="6" t="s">
        <v>16</v>
      </c>
      <c r="C10" s="36" t="s">
        <v>39</v>
      </c>
      <c r="D10" s="37"/>
      <c r="E10" s="16"/>
      <c r="F10" s="17"/>
      <c r="G10" s="6" t="s">
        <v>16</v>
      </c>
      <c r="H10" s="37"/>
      <c r="I10" s="37"/>
      <c r="J10" s="37"/>
      <c r="K10" s="37"/>
    </row>
    <row r="11" spans="1:13" ht="23.25">
      <c r="A11" s="88" t="s">
        <v>19</v>
      </c>
      <c r="B11" s="88" t="s">
        <v>20</v>
      </c>
      <c r="C11" s="36"/>
      <c r="D11" s="37"/>
      <c r="E11" s="16"/>
      <c r="F11" s="17"/>
      <c r="G11" s="89" t="s">
        <v>20</v>
      </c>
      <c r="H11" s="37"/>
      <c r="I11" s="37"/>
      <c r="J11" s="37"/>
      <c r="K11" s="37"/>
    </row>
    <row r="12" spans="1:13" ht="23.25">
      <c r="A12" s="88" t="s">
        <v>23</v>
      </c>
      <c r="B12" s="88" t="s">
        <v>24</v>
      </c>
      <c r="C12" s="36"/>
      <c r="D12" s="37"/>
      <c r="E12" s="16"/>
      <c r="F12" s="17"/>
      <c r="G12" s="89" t="s">
        <v>57</v>
      </c>
      <c r="H12" s="37"/>
      <c r="I12" s="37"/>
      <c r="J12" s="37"/>
      <c r="K12" s="37"/>
    </row>
    <row r="13" spans="1:13">
      <c r="A13" s="26" t="s">
        <v>40</v>
      </c>
      <c r="B13" s="26" t="s">
        <v>41</v>
      </c>
      <c r="C13" s="26" t="s">
        <v>42</v>
      </c>
      <c r="D13" s="38" t="s">
        <v>43</v>
      </c>
      <c r="E13" s="16"/>
      <c r="F13" s="17"/>
      <c r="G13" s="26" t="s">
        <v>40</v>
      </c>
      <c r="H13" s="26" t="s">
        <v>41</v>
      </c>
      <c r="I13" s="26" t="s">
        <v>42</v>
      </c>
      <c r="J13" s="26" t="s">
        <v>43</v>
      </c>
      <c r="K13" s="26"/>
    </row>
    <row r="14" spans="1:13">
      <c r="A14" s="16">
        <v>1</v>
      </c>
      <c r="B14" s="30">
        <f t="shared" ref="B14:B21" si="0">B15+50</f>
        <v>22050</v>
      </c>
      <c r="C14" s="39">
        <f>B14*0.85%</f>
        <v>187.42500000000001</v>
      </c>
      <c r="D14" s="43">
        <f t="shared" ref="D14:D21" si="1">IF(D15&gt;=C15,derivativehistorycallgetlowvalue($B$10,$B$5,$C$5,$B$11,$I$4,B14,$B$12),0)</f>
        <v>0</v>
      </c>
      <c r="E14" s="41">
        <f t="shared" ref="E14:E22" si="2">D14-C14</f>
        <v>-187.42500000000001</v>
      </c>
      <c r="F14" s="42"/>
      <c r="G14" s="16">
        <v>1</v>
      </c>
      <c r="H14" s="30"/>
      <c r="I14" s="39">
        <f t="shared" ref="I14:I23" si="3">H14*0.85%</f>
        <v>0</v>
      </c>
      <c r="J14" s="40"/>
      <c r="K14" s="40">
        <f t="shared" ref="K14:K22" si="4">J14-I14</f>
        <v>0</v>
      </c>
    </row>
    <row r="15" spans="1:13">
      <c r="A15" s="16">
        <v>2</v>
      </c>
      <c r="B15" s="30">
        <f t="shared" si="0"/>
        <v>22000</v>
      </c>
      <c r="C15" s="39">
        <f t="shared" ref="C15:C23" si="5">B15*0.85%</f>
        <v>187</v>
      </c>
      <c r="D15" s="43">
        <f t="shared" si="1"/>
        <v>0</v>
      </c>
      <c r="E15" s="41">
        <f t="shared" si="2"/>
        <v>-187</v>
      </c>
      <c r="F15" s="42"/>
      <c r="G15" s="16">
        <v>2</v>
      </c>
      <c r="H15" s="30"/>
      <c r="I15" s="39">
        <f t="shared" si="3"/>
        <v>0</v>
      </c>
      <c r="J15" s="40"/>
      <c r="K15" s="40">
        <f t="shared" si="4"/>
        <v>0</v>
      </c>
    </row>
    <row r="16" spans="1:13">
      <c r="A16" s="16">
        <v>3</v>
      </c>
      <c r="B16" s="30">
        <f t="shared" si="0"/>
        <v>21950</v>
      </c>
      <c r="C16" s="39">
        <f t="shared" si="5"/>
        <v>186.57500000000002</v>
      </c>
      <c r="D16" s="43">
        <f t="shared" si="1"/>
        <v>0</v>
      </c>
      <c r="E16" s="41">
        <f t="shared" si="2"/>
        <v>-186.57500000000002</v>
      </c>
      <c r="F16" s="42"/>
      <c r="G16" s="16">
        <v>3</v>
      </c>
      <c r="H16" s="30"/>
      <c r="I16" s="39">
        <f t="shared" si="3"/>
        <v>0</v>
      </c>
      <c r="J16" s="40"/>
      <c r="K16" s="40">
        <f t="shared" si="4"/>
        <v>0</v>
      </c>
    </row>
    <row r="17" spans="1:14">
      <c r="A17" s="16">
        <v>4</v>
      </c>
      <c r="B17" s="30">
        <f t="shared" si="0"/>
        <v>21900</v>
      </c>
      <c r="C17" s="39">
        <f t="shared" si="5"/>
        <v>186.15</v>
      </c>
      <c r="D17" s="43">
        <f t="shared" si="1"/>
        <v>0</v>
      </c>
      <c r="E17" s="41">
        <f t="shared" si="2"/>
        <v>-186.15</v>
      </c>
      <c r="F17" s="42"/>
      <c r="G17" s="16">
        <v>4</v>
      </c>
      <c r="H17" s="30"/>
      <c r="I17" s="39">
        <f t="shared" si="3"/>
        <v>0</v>
      </c>
      <c r="J17" s="40"/>
      <c r="K17" s="40">
        <f t="shared" si="4"/>
        <v>0</v>
      </c>
    </row>
    <row r="18" spans="1:14">
      <c r="A18" s="16">
        <v>5</v>
      </c>
      <c r="B18" s="30">
        <f t="shared" si="0"/>
        <v>21850</v>
      </c>
      <c r="C18" s="39">
        <f t="shared" si="5"/>
        <v>185.72500000000002</v>
      </c>
      <c r="D18" s="43">
        <f t="shared" si="1"/>
        <v>0</v>
      </c>
      <c r="E18" s="41">
        <f t="shared" si="2"/>
        <v>-185.72500000000002</v>
      </c>
      <c r="F18" s="42"/>
      <c r="G18" s="16">
        <v>5</v>
      </c>
      <c r="H18" s="30"/>
      <c r="I18" s="39">
        <f t="shared" si="3"/>
        <v>0</v>
      </c>
      <c r="J18" s="40"/>
      <c r="K18" s="40">
        <f t="shared" si="4"/>
        <v>0</v>
      </c>
    </row>
    <row r="19" spans="1:14">
      <c r="A19" s="16">
        <v>6</v>
      </c>
      <c r="B19" s="30">
        <f t="shared" si="0"/>
        <v>21800</v>
      </c>
      <c r="C19" s="39">
        <f t="shared" si="5"/>
        <v>185.3</v>
      </c>
      <c r="D19" s="43">
        <f t="shared" si="1"/>
        <v>0</v>
      </c>
      <c r="E19" s="41">
        <f t="shared" si="2"/>
        <v>-185.3</v>
      </c>
      <c r="F19" s="42"/>
      <c r="G19" s="16">
        <v>6</v>
      </c>
      <c r="H19" s="30"/>
      <c r="I19" s="39">
        <f t="shared" si="3"/>
        <v>0</v>
      </c>
      <c r="J19" s="40"/>
      <c r="K19" s="40">
        <f t="shared" si="4"/>
        <v>0</v>
      </c>
    </row>
    <row r="20" spans="1:14">
      <c r="A20" s="16">
        <v>7</v>
      </c>
      <c r="B20" s="30">
        <f t="shared" si="0"/>
        <v>21750</v>
      </c>
      <c r="C20" s="39">
        <f t="shared" si="5"/>
        <v>184.875</v>
      </c>
      <c r="D20" s="43">
        <f t="shared" si="1"/>
        <v>0</v>
      </c>
      <c r="E20" s="41">
        <f t="shared" si="2"/>
        <v>-184.875</v>
      </c>
      <c r="F20" s="42"/>
      <c r="G20" s="16">
        <v>7</v>
      </c>
      <c r="H20" s="30"/>
      <c r="I20" s="39">
        <f t="shared" si="3"/>
        <v>0</v>
      </c>
      <c r="J20" s="40"/>
      <c r="K20" s="40">
        <f t="shared" si="4"/>
        <v>0</v>
      </c>
    </row>
    <row r="21" spans="1:14">
      <c r="A21" s="16">
        <v>8</v>
      </c>
      <c r="B21" s="30">
        <f t="shared" si="0"/>
        <v>21700</v>
      </c>
      <c r="C21" s="39">
        <f t="shared" si="5"/>
        <v>184.45000000000002</v>
      </c>
      <c r="D21" s="43">
        <f t="shared" si="1"/>
        <v>0</v>
      </c>
      <c r="E21" s="41">
        <f t="shared" si="2"/>
        <v>-184.45000000000002</v>
      </c>
      <c r="F21" s="42"/>
      <c r="G21" s="16">
        <v>8</v>
      </c>
      <c r="H21" s="30"/>
      <c r="I21" s="39">
        <f t="shared" si="3"/>
        <v>0</v>
      </c>
      <c r="J21" s="40"/>
      <c r="K21" s="40">
        <f t="shared" si="4"/>
        <v>0</v>
      </c>
    </row>
    <row r="22" spans="1:14">
      <c r="A22" s="16">
        <v>9</v>
      </c>
      <c r="B22" s="30">
        <f>B23+50</f>
        <v>21650</v>
      </c>
      <c r="C22" s="39">
        <f t="shared" si="5"/>
        <v>184.02500000000001</v>
      </c>
      <c r="D22" s="43">
        <f>IF(D23&gt;=C23,derivativehistorycallgetlowvalue($B$10,$B$5,$C$5,$B$11,$I$4,B22,$B$12),0)</f>
        <v>183.65</v>
      </c>
      <c r="E22" s="41">
        <f t="shared" si="2"/>
        <v>-0.375</v>
      </c>
      <c r="F22" s="42"/>
      <c r="G22" s="16">
        <v>9</v>
      </c>
      <c r="H22" s="30">
        <v>21850</v>
      </c>
      <c r="I22" s="39">
        <f t="shared" si="3"/>
        <v>185.72500000000002</v>
      </c>
      <c r="J22" s="44"/>
      <c r="K22" s="40">
        <f t="shared" si="4"/>
        <v>-185.72500000000002</v>
      </c>
    </row>
    <row r="23" spans="1:14">
      <c r="A23" s="16">
        <v>10</v>
      </c>
      <c r="B23" s="30">
        <f>J6</f>
        <v>21600</v>
      </c>
      <c r="C23" s="39">
        <f t="shared" si="5"/>
        <v>183.60000000000002</v>
      </c>
      <c r="D23" s="40">
        <f>derivativehistorycallgetlowvalue(B10,B5,C5,B11,I4,B23,B12)</f>
        <v>211.7</v>
      </c>
      <c r="E23" s="41">
        <f>D23-C23</f>
        <v>28.099999999999966</v>
      </c>
      <c r="F23" s="42"/>
      <c r="G23" s="16">
        <v>10</v>
      </c>
      <c r="H23" s="30">
        <f>J7</f>
        <v>22200</v>
      </c>
      <c r="I23" s="39">
        <f t="shared" si="3"/>
        <v>188.70000000000002</v>
      </c>
      <c r="J23" s="40">
        <v>77.5</v>
      </c>
      <c r="K23" s="40">
        <f>J23-I23</f>
        <v>-111.20000000000002</v>
      </c>
      <c r="N23">
        <f>INDEX(B14:E23,3,1)</f>
        <v>21950</v>
      </c>
    </row>
    <row r="24" spans="1:14">
      <c r="A24" s="35"/>
      <c r="C24" s="45"/>
      <c r="E24" s="42">
        <f t="array" ref="E24">MIN(IF(E14:E23&gt;0,E14:E23))</f>
        <v>28.099999999999966</v>
      </c>
      <c r="F24" s="42"/>
      <c r="G24" s="17"/>
      <c r="I24" s="45"/>
      <c r="K24" s="46">
        <f t="array" ref="K24">MIN(IF(K14:K23&gt;0,K14:K23))</f>
        <v>0</v>
      </c>
    </row>
    <row r="25" spans="1:14">
      <c r="A25" s="35"/>
      <c r="B25" s="17"/>
      <c r="C25" s="17"/>
      <c r="D25" s="17"/>
      <c r="E25" s="17"/>
      <c r="F25" s="17"/>
      <c r="G25" s="17"/>
      <c r="H25" s="17"/>
      <c r="I25" s="17"/>
      <c r="J25" s="19"/>
      <c r="K25" s="20"/>
    </row>
    <row r="26" spans="1:14">
      <c r="A26" s="35"/>
      <c r="B26" s="17"/>
      <c r="C26" s="17"/>
      <c r="D26" s="17"/>
      <c r="E26" s="17"/>
      <c r="F26" s="17"/>
      <c r="G26" s="17"/>
      <c r="H26" s="17"/>
      <c r="I26" s="17"/>
      <c r="J26" s="19"/>
      <c r="K26" s="20"/>
    </row>
    <row r="27" spans="1:14" ht="78.75">
      <c r="A27" s="47" t="s">
        <v>44</v>
      </c>
      <c r="B27" s="48"/>
      <c r="C27" s="49" t="e">
        <f ca="1">IF(E24=0,B23,XLOOKUP(E24,E14:E23,B14:B23))</f>
        <v>#NAME?</v>
      </c>
      <c r="D27" s="17"/>
      <c r="E27" s="50" t="s">
        <v>45</v>
      </c>
      <c r="F27" s="17"/>
      <c r="G27" s="48" t="s">
        <v>46</v>
      </c>
      <c r="H27" s="48"/>
      <c r="I27" s="49">
        <f>IF(K24=0,H23,_xlfn.XLOOKUP(K24,K14:K23,H14:H23))</f>
        <v>22200</v>
      </c>
      <c r="J27" s="19"/>
      <c r="K27" s="20"/>
    </row>
    <row r="28" spans="1:14">
      <c r="A28" s="80" t="s">
        <v>47</v>
      </c>
      <c r="B28" s="81"/>
      <c r="C28" s="49" t="e">
        <f ca="1">IF(E24=0,C23,_xlfn.XLOOKUP(E24,E14:E23,D14:D23))</f>
        <v>#NAME?</v>
      </c>
      <c r="D28" s="17"/>
      <c r="E28" s="17"/>
      <c r="F28" s="17"/>
      <c r="G28" s="82" t="s">
        <v>47</v>
      </c>
      <c r="H28" s="81"/>
      <c r="I28" s="51">
        <f>IF(K24=0,I23,_xlfn.XLOOKUP(K24,K14:K23,J14:J23))</f>
        <v>188.70000000000002</v>
      </c>
      <c r="J28" s="19"/>
      <c r="K28" s="20"/>
    </row>
    <row r="29" spans="1:14">
      <c r="A29" s="83" t="s">
        <v>30</v>
      </c>
      <c r="B29" s="84"/>
      <c r="C29" s="52">
        <v>45330</v>
      </c>
      <c r="D29" s="17"/>
      <c r="E29" s="17" t="s">
        <v>48</v>
      </c>
      <c r="F29" s="17"/>
      <c r="G29" s="84" t="s">
        <v>30</v>
      </c>
      <c r="H29" s="84"/>
      <c r="I29" s="53">
        <v>45330</v>
      </c>
      <c r="J29" s="19"/>
      <c r="K29" s="20"/>
    </row>
    <row r="30" spans="1:14">
      <c r="A30" s="35"/>
      <c r="B30" s="17"/>
      <c r="C30" s="17"/>
      <c r="D30" s="17"/>
      <c r="E30" s="17"/>
      <c r="F30" s="17"/>
      <c r="G30" s="17"/>
      <c r="H30" s="17"/>
      <c r="I30" s="17"/>
      <c r="J30" s="19"/>
      <c r="K30" s="20"/>
    </row>
    <row r="31" spans="1:14">
      <c r="A31" s="73" t="s">
        <v>49</v>
      </c>
      <c r="B31" s="74"/>
      <c r="C31" s="74"/>
      <c r="D31" s="17"/>
      <c r="E31" s="17"/>
      <c r="F31" s="17"/>
      <c r="G31" s="74" t="s">
        <v>38</v>
      </c>
      <c r="H31" s="74"/>
      <c r="I31" s="74"/>
      <c r="J31" s="19"/>
      <c r="K31" s="20"/>
    </row>
    <row r="32" spans="1:14">
      <c r="A32" s="70" t="s">
        <v>50</v>
      </c>
      <c r="B32" s="71"/>
      <c r="C32" s="54" t="e">
        <f ca="1">C27</f>
        <v>#NAME?</v>
      </c>
      <c r="D32" s="17"/>
      <c r="E32" s="17"/>
      <c r="F32" s="17"/>
      <c r="G32" s="72" t="s">
        <v>50</v>
      </c>
      <c r="H32" s="71"/>
      <c r="I32" s="54">
        <f>I27</f>
        <v>22200</v>
      </c>
      <c r="J32" s="19"/>
      <c r="K32" s="20"/>
    </row>
    <row r="33" spans="1:11">
      <c r="A33" s="70" t="s">
        <v>30</v>
      </c>
      <c r="B33" s="71"/>
      <c r="C33" s="55">
        <f>C29</f>
        <v>45330</v>
      </c>
      <c r="D33" s="17"/>
      <c r="E33" s="17"/>
      <c r="F33" s="17"/>
      <c r="G33" s="70" t="s">
        <v>30</v>
      </c>
      <c r="H33" s="71"/>
      <c r="I33" s="55">
        <f>I29</f>
        <v>45330</v>
      </c>
      <c r="J33" s="19"/>
      <c r="K33" s="20"/>
    </row>
    <row r="34" spans="1:11">
      <c r="A34" s="70" t="s">
        <v>51</v>
      </c>
      <c r="B34" s="71"/>
      <c r="C34" s="56" t="e">
        <f ca="1">C28*0.9</f>
        <v>#NAME?</v>
      </c>
      <c r="D34" s="17"/>
      <c r="E34" s="17"/>
      <c r="F34" s="17"/>
      <c r="G34" s="72" t="s">
        <v>51</v>
      </c>
      <c r="H34" s="71"/>
      <c r="I34" s="56">
        <f>I28*0.9</f>
        <v>169.83</v>
      </c>
      <c r="J34" s="19"/>
      <c r="K34" s="20"/>
    </row>
    <row r="35" spans="1:11">
      <c r="A35" s="70" t="s">
        <v>52</v>
      </c>
      <c r="B35" s="71"/>
      <c r="C35" s="56" t="e">
        <f ca="1">C34*0.25</f>
        <v>#NAME?</v>
      </c>
      <c r="D35" s="17"/>
      <c r="E35" s="17"/>
      <c r="F35" s="17"/>
      <c r="G35" s="72" t="s">
        <v>52</v>
      </c>
      <c r="H35" s="71"/>
      <c r="I35" s="56">
        <f>I34*0.25</f>
        <v>42.457500000000003</v>
      </c>
      <c r="J35" s="19"/>
      <c r="K35" s="20"/>
    </row>
    <row r="36" spans="1:11">
      <c r="A36" s="70" t="s">
        <v>53</v>
      </c>
      <c r="B36" s="71"/>
      <c r="C36" s="56" t="e">
        <f ca="1">C34*1.75</f>
        <v>#NAME?</v>
      </c>
      <c r="D36" s="17"/>
      <c r="E36" s="17"/>
      <c r="F36" s="17"/>
      <c r="G36" s="72" t="s">
        <v>53</v>
      </c>
      <c r="H36" s="71"/>
      <c r="I36" s="56">
        <f>I34*1.75</f>
        <v>297.20250000000004</v>
      </c>
      <c r="J36" s="19"/>
      <c r="K36" s="20"/>
    </row>
    <row r="37" spans="1:11">
      <c r="A37" s="35"/>
      <c r="B37" s="17"/>
      <c r="C37" s="57"/>
      <c r="D37" s="17"/>
      <c r="E37" s="17"/>
      <c r="F37" s="17"/>
      <c r="G37" s="17"/>
      <c r="H37" s="17"/>
      <c r="I37" s="57"/>
      <c r="J37" s="19"/>
      <c r="K37" s="20"/>
    </row>
    <row r="38" spans="1:11">
      <c r="A38" s="63" t="s">
        <v>54</v>
      </c>
      <c r="B38" s="64"/>
      <c r="C38" s="49">
        <v>400</v>
      </c>
      <c r="D38" s="17"/>
      <c r="E38" s="17"/>
      <c r="F38" s="17"/>
      <c r="G38" s="64" t="s">
        <v>54</v>
      </c>
      <c r="H38" s="64"/>
      <c r="I38" s="49">
        <v>400</v>
      </c>
      <c r="J38" s="19"/>
      <c r="K38" s="20"/>
    </row>
    <row r="39" spans="1:11">
      <c r="A39" s="65" t="s">
        <v>55</v>
      </c>
      <c r="B39" s="66"/>
      <c r="C39" s="58">
        <f>(C38*1.1)</f>
        <v>440.00000000000006</v>
      </c>
      <c r="D39" s="17"/>
      <c r="E39" s="17"/>
      <c r="F39" s="17"/>
      <c r="G39" s="66" t="s">
        <v>55</v>
      </c>
      <c r="H39" s="66"/>
      <c r="I39" s="58">
        <f>(I38*1.1)</f>
        <v>440.00000000000006</v>
      </c>
      <c r="J39" s="19"/>
      <c r="K39" s="20"/>
    </row>
    <row r="40" spans="1:11">
      <c r="A40" s="35"/>
      <c r="B40" s="17"/>
      <c r="C40" s="57"/>
      <c r="D40" s="17"/>
      <c r="E40" s="17"/>
      <c r="F40" s="17"/>
      <c r="G40" s="17"/>
      <c r="H40" s="17"/>
      <c r="I40" s="57"/>
      <c r="J40" s="19"/>
      <c r="K40" s="20"/>
    </row>
    <row r="41" spans="1:11" ht="16.5" thickBot="1">
      <c r="A41" s="67" t="s">
        <v>56</v>
      </c>
      <c r="B41" s="68"/>
      <c r="C41" s="59" t="e">
        <f ca="1">(C34-C35)*50</f>
        <v>#NAME?</v>
      </c>
      <c r="D41" s="60"/>
      <c r="E41" s="60"/>
      <c r="F41" s="60"/>
      <c r="G41" s="69" t="s">
        <v>56</v>
      </c>
      <c r="H41" s="69"/>
      <c r="I41" s="59">
        <f>(I34-I35)*50</f>
        <v>6368.625</v>
      </c>
      <c r="J41" s="61"/>
      <c r="K41" s="62"/>
    </row>
  </sheetData>
  <mergeCells count="25">
    <mergeCell ref="A29:B29"/>
    <mergeCell ref="G29:H29"/>
    <mergeCell ref="A1:J1"/>
    <mergeCell ref="A9:E9"/>
    <mergeCell ref="G9:K9"/>
    <mergeCell ref="A28:B28"/>
    <mergeCell ref="G28:H28"/>
    <mergeCell ref="A31:C31"/>
    <mergeCell ref="G31:I31"/>
    <mergeCell ref="A32:B32"/>
    <mergeCell ref="G32:H32"/>
    <mergeCell ref="A33:B33"/>
    <mergeCell ref="G33:H33"/>
    <mergeCell ref="A34:B34"/>
    <mergeCell ref="G34:H34"/>
    <mergeCell ref="A35:B35"/>
    <mergeCell ref="G35:H35"/>
    <mergeCell ref="A36:B36"/>
    <mergeCell ref="G36:H36"/>
    <mergeCell ref="A38:B38"/>
    <mergeCell ref="G38:H38"/>
    <mergeCell ref="A39:B39"/>
    <mergeCell ref="G39:H39"/>
    <mergeCell ref="A41:B41"/>
    <mergeCell ref="G41:H41"/>
  </mergeCell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5334F-DE49-46E3-B7FF-5C3DF8482326}">
  <sheetPr codeName="Feuil1"/>
  <dimension ref="A1:B1"/>
  <sheetViews>
    <sheetView workbookViewId="0">
      <selection sqref="A1:B1"/>
    </sheetView>
  </sheetViews>
  <sheetFormatPr baseColWidth="10" defaultRowHeight="15.75"/>
  <sheetData>
    <row r="1" spans="1:2">
      <c r="A1" t="s">
        <v>25</v>
      </c>
      <c r="B1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4A912-C4AB-4730-B20B-0F53BCFFB405}">
  <sheetPr codeName="Feuil2"/>
  <dimension ref="A1:B7"/>
  <sheetViews>
    <sheetView workbookViewId="0">
      <selection sqref="A1:B7"/>
    </sheetView>
  </sheetViews>
  <sheetFormatPr baseColWidth="10" defaultRowHeight="15.75"/>
  <sheetData>
    <row r="1" spans="1:2">
      <c r="A1" t="s">
        <v>15</v>
      </c>
      <c r="B1" t="s">
        <v>16</v>
      </c>
    </row>
    <row r="2" spans="1:2">
      <c r="A2" t="s">
        <v>17</v>
      </c>
      <c r="B2" s="3">
        <v>45322</v>
      </c>
    </row>
    <row r="3" spans="1:2">
      <c r="A3" t="s">
        <v>18</v>
      </c>
      <c r="B3" s="3">
        <v>45323</v>
      </c>
    </row>
    <row r="4" spans="1:2">
      <c r="A4" t="s">
        <v>19</v>
      </c>
      <c r="B4" t="s">
        <v>20</v>
      </c>
    </row>
    <row r="5" spans="1:2">
      <c r="A5" t="s">
        <v>21</v>
      </c>
      <c r="B5" s="3">
        <v>45330</v>
      </c>
    </row>
    <row r="6" spans="1:2">
      <c r="A6" t="s">
        <v>22</v>
      </c>
      <c r="B6" s="4">
        <v>21600</v>
      </c>
    </row>
    <row r="7" spans="1:2">
      <c r="A7" t="s">
        <v>23</v>
      </c>
      <c r="B7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/>
  <cols>
    <col min="1" max="1" width="14.75" style="1" customWidth="1"/>
    <col min="2" max="2" width="9.25" style="1" customWidth="1"/>
    <col min="3" max="16384" width="8.87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0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Sheet1</vt:lpstr>
      <vt:lpstr>Feuil1</vt:lpstr>
      <vt:lpstr>Feuil2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Administrateur</cp:lastModifiedBy>
  <dcterms:created xsi:type="dcterms:W3CDTF">2015-01-25T11:31:25Z</dcterms:created>
  <dcterms:modified xsi:type="dcterms:W3CDTF">2024-02-08T13:25:31Z</dcterms:modified>
</cp:coreProperties>
</file>